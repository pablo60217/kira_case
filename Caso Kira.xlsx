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blocamacho/Library/Mobile Documents/com~apple~CloudDocs/Aplicaciones/Kira/"/>
    </mc:Choice>
  </mc:AlternateContent>
  <xr:revisionPtr revIDLastSave="0" documentId="13_ncr:1_{F0E934DB-9EBF-1749-AC2D-A79F680FF9AD}" xr6:coauthVersionLast="47" xr6:coauthVersionMax="47" xr10:uidLastSave="{00000000-0000-0000-0000-000000000000}"/>
  <bookViews>
    <workbookView xWindow="0" yWindow="740" windowWidth="29400" windowHeight="18380" xr2:uid="{F67AB9AC-FE73-CD4F-80E5-EDDE3421B862}"/>
  </bookViews>
  <sheets>
    <sheet name="RFI Triggers" sheetId="1" r:id="rId1"/>
    <sheet name="Transaction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7" i="1" l="1"/>
  <c r="G8" i="1"/>
  <c r="G10" i="1"/>
  <c r="G11" i="1"/>
  <c r="G12" i="1"/>
  <c r="D37" i="2"/>
  <c r="G16" i="1"/>
  <c r="G15" i="1"/>
  <c r="G17" i="1"/>
  <c r="D36" i="2"/>
  <c r="G18" i="1"/>
  <c r="D35" i="2"/>
  <c r="G19" i="1"/>
  <c r="G20" i="1"/>
  <c r="G5" i="1"/>
  <c r="G4" i="1"/>
  <c r="G6" i="1"/>
  <c r="G9" i="1"/>
  <c r="G13" i="1"/>
  <c r="G14" i="1"/>
  <c r="D34" i="2"/>
  <c r="G3" i="1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G2" i="1" s="1"/>
  <c r="D3" i="2"/>
  <c r="D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tc={9349CE7A-7725-784E-B386-F40069D5C945}</author>
    <author>tc={580C398E-BC53-0E4A-8393-C5952F944A5B}</author>
  </authors>
  <commentList>
    <comment ref="D1" authorId="0" shapeId="0" xr:uid="{9349CE7A-7725-784E-B386-F40069D5C945}">
      <text>
        <t>[Threaded comment]
Your version of Excel allows you to read this threaded comment; however, any edits to it will get removed if the file is opened in a newer version of Excel. Learn more: https://go.microsoft.com/fwlink/?linkid=870924
Comment:
    Research needed</t>
      </text>
    </comment>
    <comment ref="A3" authorId="1" shapeId="0" xr:uid="{580C398E-BC53-0E4A-8393-C5952F944A5B}">
      <text>
        <t>[Threaded comment]
Your version of Excel allows you to read this threaded comment; however, any edits to it will get removed if the file is opened in a newer version of Excel. Learn more: https://go.microsoft.com/fwlink/?linkid=870924
Comment:
    Double check values</t>
      </text>
    </comment>
  </commentList>
</comments>
</file>

<file path=xl/sharedStrings.xml><?xml version="1.0" encoding="utf-8"?>
<sst xmlns="http://schemas.openxmlformats.org/spreadsheetml/2006/main" count="236" uniqueCount="126">
  <si>
    <t>Sender data</t>
  </si>
  <si>
    <t>Receiver data</t>
  </si>
  <si>
    <t>Bank Adress</t>
  </si>
  <si>
    <t>Bank name</t>
  </si>
  <si>
    <t>Deviation from</t>
  </si>
  <si>
    <t>Name</t>
  </si>
  <si>
    <t>email</t>
  </si>
  <si>
    <t>fraudelent email risk</t>
  </si>
  <si>
    <t>phone</t>
  </si>
  <si>
    <t>phone on scam list</t>
  </si>
  <si>
    <t>device</t>
  </si>
  <si>
    <t>device risk</t>
  </si>
  <si>
    <t>id</t>
  </si>
  <si>
    <t>Stolen ID</t>
  </si>
  <si>
    <t>Credit Score</t>
  </si>
  <si>
    <t>creation data</t>
  </si>
  <si>
    <t>first trasfer</t>
  </si>
  <si>
    <t>Variable measured</t>
  </si>
  <si>
    <t>previous trasfer</t>
  </si>
  <si>
    <t>number of trasfers</t>
  </si>
  <si>
    <t>amount of trasfers</t>
  </si>
  <si>
    <t>Behavior Risk</t>
  </si>
  <si>
    <t>Common RFI trigger</t>
  </si>
  <si>
    <t>Sancion/PEP hits</t>
  </si>
  <si>
    <t>Industry-risk mismatch</t>
  </si>
  <si>
    <t>behavioral anomalies</t>
  </si>
  <si>
    <t>Category</t>
  </si>
  <si>
    <t>Sender bank country in high risk list</t>
  </si>
  <si>
    <t>Bank identifier (BIC or Swift)</t>
  </si>
  <si>
    <t>Sender Iban</t>
  </si>
  <si>
    <t>Sender full name</t>
  </si>
  <si>
    <t>currency</t>
  </si>
  <si>
    <t>payment reference</t>
  </si>
  <si>
    <t>date</t>
  </si>
  <si>
    <t>time</t>
  </si>
  <si>
    <t>Sender address</t>
  </si>
  <si>
    <t>Business or person</t>
  </si>
  <si>
    <t>Reason for Transfer:</t>
  </si>
  <si>
    <t>Local or International</t>
  </si>
  <si>
    <t>sender adress in high risk neighberhood</t>
  </si>
  <si>
    <t>receivers last 30 days transaction income deviated by + $x and y%</t>
  </si>
  <si>
    <t>+ 3 receiving bank accounts receiving funds from same sender bank</t>
  </si>
  <si>
    <t>Receiver account created less than 30 days ago</t>
  </si>
  <si>
    <t>Receiver account has missing information</t>
  </si>
  <si>
    <t>Receiver account has expired documents</t>
  </si>
  <si>
    <t>Receiver account flagged as Politically Exposed Person</t>
  </si>
  <si>
    <t>Transaction Amount &gt; $10,000 USD</t>
  </si>
  <si>
    <t>Transaction Amount deviated by + $10,000 USD and 40%</t>
  </si>
  <si>
    <t>How painful the resolution is today</t>
  </si>
  <si>
    <t>What data would reflect it</t>
  </si>
  <si>
    <t>Sender bank registered as high-risk</t>
  </si>
  <si>
    <t>Low income receiver status (unemployed or student)</t>
  </si>
  <si>
    <t>How frequent it backfires</t>
  </si>
  <si>
    <t>Receiver Dormant (+X days) account suddenly active</t>
  </si>
  <si>
    <t>Resolution</t>
  </si>
  <si>
    <t>sanctions/PEP hits</t>
  </si>
  <si>
    <t>Sender or receiver in international black list (Interpol, Clinton List, etc.)</t>
  </si>
  <si>
    <t>Sender or receiver bank from sanctioned country</t>
  </si>
  <si>
    <t>Receiver has missing documents</t>
  </si>
  <si>
    <t>Sender IBAN flagged internally</t>
  </si>
  <si>
    <t>Sender IBAN flagged externally</t>
  </si>
  <si>
    <t>Amount deviation</t>
  </si>
  <si>
    <t>New account</t>
  </si>
  <si>
    <t>Previously flagged sender</t>
  </si>
  <si>
    <t>Transaction time between 10 pm and 4 am in sender bank local time</t>
  </si>
  <si>
    <t>High risk sender</t>
  </si>
  <si>
    <t>Suspicious receiver account activity</t>
  </si>
  <si>
    <t>Urgency</t>
  </si>
  <si>
    <t>Party</t>
  </si>
  <si>
    <t>Source</t>
  </si>
  <si>
    <t>Wire transfer</t>
  </si>
  <si>
    <t>Amount USD</t>
  </si>
  <si>
    <t>complete</t>
  </si>
  <si>
    <t>First transaction date</t>
  </si>
  <si>
    <t>Receiver bank records</t>
  </si>
  <si>
    <t>Daily</t>
  </si>
  <si>
    <t>Weekly</t>
  </si>
  <si>
    <t>Monthly</t>
  </si>
  <si>
    <t>Compliance analyst requests justification for deviation; client submits supporting docs manually</t>
  </si>
  <si>
    <t>Compliance reviews income history; client provides bank statements or payroll records</t>
  </si>
  <si>
    <t>Client explains deviation pattern; compliance cross-checks with prior transaction history manually</t>
  </si>
  <si>
    <t>Compliance officer escalates; transaction flagged, client asked to justify sender bank origin</t>
  </si>
  <si>
    <t>Transaction frozen; compliance verifies bank registration against external risk databases manually</t>
  </si>
  <si>
    <t>Compliance analyst cross-checks IBAN against external flagging databases; client asked to explain sender relationship</t>
  </si>
  <si>
    <t>Client asked to justify sender address; compliance manually assesses geo-risk with no automated tool</t>
  </si>
  <si>
    <t>Compliance analyst maps network manually; client asked to explain all related senders</t>
  </si>
  <si>
    <t>Transaction flagged for off-hours activity; compliance reviews next business day, funds held overnight</t>
  </si>
  <si>
    <t>Compliance requests account history and proof of account age; client contacts beneficiary to provide docs</t>
  </si>
  <si>
    <t>Internal flag surfaced during review; compliance analyst validates against internal watchlist</t>
  </si>
  <si>
    <t>Client contacted to request missing beneficiary documents; funds frozen until received</t>
  </si>
  <si>
    <t>Compliance requests renewed documents from client; funds frozen until expiry resolved</t>
  </si>
  <si>
    <t>Transaction escalated to compliance officer; PEP status verified against external registry</t>
  </si>
  <si>
    <t>Transaction immediately frozen; compliance cross-checks sender/receiver against Interpol, Clinton and other lists</t>
  </si>
  <si>
    <t>Funds frozen; compliance re-verifies bank origin, escalates to compliance officer for sign-off</t>
  </si>
  <si>
    <t>Client asked to justify receiver's income status; compliance requests employment or student documentation</t>
  </si>
  <si>
    <t>Compliance reviews account activity history; client asked to explain sudden reactivation and source of incoming funds</t>
  </si>
  <si>
    <t>High — funds frozen 24h+; client scrambles for invoices; compliance absorbs manual back-and-forth</t>
  </si>
  <si>
    <t>High — client must reconstruct deviation context; no pre-collected baseline for comparison</t>
  </si>
  <si>
    <t>Medium — bank statements are obtainable but slow; no automated income baseline exists</t>
  </si>
  <si>
    <t>Medium — pattern context is available internally but requires manual cross-check</t>
  </si>
  <si>
    <t>High — requires compliance officer escalation; client has no control over sender bank's risk classification</t>
  </si>
  <si>
    <t>High — client cannot easily change their sender's bank; resolution may require dropping the counterparty</t>
  </si>
  <si>
    <t>High — external flag origin often opaque; client has no self-service way to contest or explain</t>
  </si>
  <si>
    <t>Medium — client can provide address context but geo-risk scoring is entirely manual and inconsistent</t>
  </si>
  <si>
    <t>High — mapping 3+ related accounts is time-consuming; no automated network visualization tool in place</t>
  </si>
  <si>
    <t>Medium — client has no control over sender timing; funds held until next business day review</t>
  </si>
  <si>
    <t>Medium — account age is verifiable but requires reaching the beneficiary who may be unresponsive</t>
  </si>
  <si>
    <t>Low — internal flag is already known; resolution is primarily process confirmation</t>
  </si>
  <si>
    <t>High — missing docs require outreach to beneficiary; completion timeline is unpredictable</t>
  </si>
  <si>
    <t>Medium — document renewal is straightforward but introduces compliance delay and client frustration</t>
  </si>
  <si>
    <t>High — PEP status is binary and hard to overturn; escalation adds days to resolution</t>
  </si>
  <si>
    <t>Very High — sanctions hits trigger mandatory holds; resolution requires legal and compliance officer review</t>
  </si>
  <si>
    <t>Very High — same as above; duplicate risk when both sender and receiver bank are flagged</t>
  </si>
  <si>
    <t>Medium — client can provide income docs but beneficiary may resist sharing personal status information</t>
  </si>
  <si>
    <t>Medium — dormancy context is available in transaction history but requires manual investigation</t>
  </si>
  <si>
    <t>High</t>
  </si>
  <si>
    <t>Medium</t>
  </si>
  <si>
    <t>Low</t>
  </si>
  <si>
    <t>Critical</t>
  </si>
  <si>
    <t>Compliance analyst manually reviews transaction and requests invoice or source-of-funds proof from client</t>
  </si>
  <si>
    <t>receivers last 30 days total transactions income above X</t>
  </si>
  <si>
    <t>Banned sender IBAN</t>
  </si>
  <si>
    <t>External records</t>
  </si>
  <si>
    <t>Sanctioned country</t>
  </si>
  <si>
    <t>Sanctioned person or organization (Interpol, Clinton List)</t>
  </si>
  <si>
    <t>Creation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</si>
</sst>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Fill="1"/>
    <xf numFmtId="0" fontId="0" fillId="0" borderId="0" xfId="0" quotePrefix="1" applyFill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ablo Camacho" id="{95F20CEB-B5E6-9649-A81B-008FCE866594}" userId="S::pablo.camacho@student.ie.edu::71111475-bf29-42ab-a408-db7240daaa8d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1A2A11-4373-E249-B754-90CDBCE5F135}" name="Table1" displayName="Table1" ref="A1:G21" totalsRowShown="0" headerRowDxfId="0">
  <autoFilter ref="A1:G21" xr:uid="{831A2A11-4373-E249-B754-90CDBCE5F135}">
    <filterColumn colId="2">
      <filters>
        <filter val="Daily"/>
        <filter val="Weekly"/>
      </filters>
    </filterColumn>
    <filterColumn colId="5">
      <filters>
        <filter val="Critical"/>
        <filter val="High"/>
      </filters>
    </filterColumn>
  </autoFilter>
  <sortState xmlns:xlrd2="http://schemas.microsoft.com/office/spreadsheetml/2017/richdata2" ref="A2:G21">
    <sortCondition ref="B1:B21"/>
  </sortState>
  <tableColumns count="7">
    <tableColumn id="1" xr3:uid="{389A712A-F0E9-744B-8BBB-6DFEEE196E58}" name="Common RFI trigger"/>
    <tableColumn id="2" xr3:uid="{D31F1346-A48F-F847-9816-B6E4A1EA26B1}" name="Category"/>
    <tableColumn id="3" xr3:uid="{9B520F02-9BA6-8843-B143-26BF6297FE78}" name="How frequent it backfires"/>
    <tableColumn id="6" xr3:uid="{11DB1D8A-3EE2-9942-B54A-9B6F4751A6EF}" name="Resolution"/>
    <tableColumn id="4" xr3:uid="{E120E201-7B5E-3E47-A21D-4CEBDC35CC83}" name="How painful the resolution is today"/>
    <tableColumn id="8" xr3:uid="{DFE187DE-F227-A047-88A6-6BCE10B58808}" name="Urgency"/>
    <tableColumn id="5" xr3:uid="{4BD8CC80-35FD-0C42-8AFB-BD3BA6AAE1A5}" name="What data would reflect it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6-05-06T14:45:05.43" personId="{95F20CEB-B5E6-9649-A81B-008FCE866594}" id="{9349CE7A-7725-784E-B386-F40069D5C945}">
    <text>Research needed</text>
  </threadedComment>
  <threadedComment ref="A3" dT="2026-05-06T14:20:29.36" personId="{95F20CEB-B5E6-9649-A81B-008FCE866594}" id="{580C398E-BC53-0E4A-8393-C5952F944A5B}">
    <text>Double check values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1A3503C-364A-144E-AC9E-D25C4FF71CF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cdc973a6-8675-42c7-82b3-e6f9d83cbd2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9CB40-ADE9-0F49-8E29-D98CDDC75186}">
  <dimension ref="A1:G44"/>
  <sheetViews>
    <sheetView tabSelected="1" topLeftCell="E1" zoomScale="150" workbookViewId="0">
      <selection activeCell="A8" sqref="A8"/>
    </sheetView>
  </sheetViews>
  <sheetFormatPr baseColWidth="10" defaultRowHeight="16" x14ac:dyDescent="0.2"/>
  <cols>
    <col min="1" max="1" width="49.6640625" bestFit="1" customWidth="1"/>
    <col min="2" max="2" width="17.5" customWidth="1"/>
    <col min="3" max="3" width="24.6640625" customWidth="1"/>
    <col min="4" max="4" width="31.83203125" hidden="1" customWidth="1"/>
    <col min="5" max="5" width="88" bestFit="1" customWidth="1"/>
    <col min="6" max="6" width="10.33203125" bestFit="1" customWidth="1"/>
    <col min="7" max="7" width="52.1640625" bestFit="1" customWidth="1"/>
  </cols>
  <sheetData>
    <row r="1" spans="1:7" x14ac:dyDescent="0.2">
      <c r="A1" s="1" t="s">
        <v>22</v>
      </c>
      <c r="B1" s="1" t="s">
        <v>26</v>
      </c>
      <c r="C1" s="3" t="s">
        <v>52</v>
      </c>
      <c r="D1" s="3" t="s">
        <v>54</v>
      </c>
      <c r="E1" s="1" t="s">
        <v>48</v>
      </c>
      <c r="F1" s="3" t="s">
        <v>67</v>
      </c>
      <c r="G1" s="1" t="s">
        <v>49</v>
      </c>
    </row>
    <row r="2" spans="1:7" x14ac:dyDescent="0.2">
      <c r="A2" s="4" t="s">
        <v>46</v>
      </c>
      <c r="B2" t="s">
        <v>61</v>
      </c>
      <c r="C2" t="s">
        <v>75</v>
      </c>
      <c r="D2" t="s">
        <v>119</v>
      </c>
      <c r="E2" t="s">
        <v>96</v>
      </c>
      <c r="F2" t="s">
        <v>115</v>
      </c>
      <c r="G2" t="str">
        <f>'Transaction Data'!D4</f>
        <v>Wire transfer - Sender data - Amount USD</v>
      </c>
    </row>
    <row r="3" spans="1:7" x14ac:dyDescent="0.2">
      <c r="A3" s="4" t="s">
        <v>47</v>
      </c>
      <c r="B3" t="s">
        <v>61</v>
      </c>
      <c r="C3" t="s">
        <v>76</v>
      </c>
      <c r="D3" t="s">
        <v>78</v>
      </c>
      <c r="E3" t="s">
        <v>97</v>
      </c>
      <c r="F3" t="s">
        <v>115</v>
      </c>
      <c r="G3" t="str">
        <f>'Transaction Data'!D27</f>
        <v>Receiver bank records - Receiver data - previous trasfer</v>
      </c>
    </row>
    <row r="4" spans="1:7" hidden="1" x14ac:dyDescent="0.2">
      <c r="A4" s="4" t="s">
        <v>120</v>
      </c>
      <c r="B4" t="s">
        <v>61</v>
      </c>
      <c r="C4" t="s">
        <v>75</v>
      </c>
      <c r="D4" t="s">
        <v>79</v>
      </c>
      <c r="E4" t="s">
        <v>98</v>
      </c>
      <c r="F4" t="s">
        <v>116</v>
      </c>
      <c r="G4" t="str">
        <f>'Transaction Data'!D29</f>
        <v>Receiver bank records - Receiver data - amount of trasfers</v>
      </c>
    </row>
    <row r="5" spans="1:7" hidden="1" x14ac:dyDescent="0.2">
      <c r="A5" s="4" t="s">
        <v>40</v>
      </c>
      <c r="B5" t="s">
        <v>61</v>
      </c>
      <c r="C5" t="s">
        <v>76</v>
      </c>
      <c r="D5" t="s">
        <v>80</v>
      </c>
      <c r="E5" t="s">
        <v>99</v>
      </c>
      <c r="F5" t="s">
        <v>116</v>
      </c>
      <c r="G5" t="str">
        <f>'Transaction Data'!D29</f>
        <v>Receiver bank records - Receiver data - amount of trasfers</v>
      </c>
    </row>
    <row r="6" spans="1:7" x14ac:dyDescent="0.2">
      <c r="A6" s="4" t="s">
        <v>27</v>
      </c>
      <c r="B6" t="s">
        <v>65</v>
      </c>
      <c r="C6" t="s">
        <v>76</v>
      </c>
      <c r="D6" t="s">
        <v>81</v>
      </c>
      <c r="E6" t="s">
        <v>100</v>
      </c>
      <c r="F6" t="s">
        <v>115</v>
      </c>
      <c r="G6" t="str">
        <f>'Transaction Data'!D3&amp;" (Available black lists)"</f>
        <v>Wire transfer - Sender data - Bank Adress (Available black lists)</v>
      </c>
    </row>
    <row r="7" spans="1:7" hidden="1" x14ac:dyDescent="0.2">
      <c r="A7" s="4" t="s">
        <v>50</v>
      </c>
      <c r="B7" t="s">
        <v>65</v>
      </c>
      <c r="C7" t="s">
        <v>77</v>
      </c>
      <c r="D7" t="s">
        <v>82</v>
      </c>
      <c r="E7" t="s">
        <v>101</v>
      </c>
      <c r="F7" t="s">
        <v>115</v>
      </c>
      <c r="G7" t="str">
        <f>'Transaction Data'!D3</f>
        <v>Wire transfer - Sender data - Bank Adress</v>
      </c>
    </row>
    <row r="8" spans="1:7" hidden="1" x14ac:dyDescent="0.2">
      <c r="A8" s="4" t="s">
        <v>60</v>
      </c>
      <c r="B8" t="s">
        <v>65</v>
      </c>
      <c r="C8" t="s">
        <v>77</v>
      </c>
      <c r="D8" t="s">
        <v>83</v>
      </c>
      <c r="E8" t="s">
        <v>102</v>
      </c>
      <c r="F8" t="s">
        <v>115</v>
      </c>
      <c r="G8" t="str">
        <f>'Transaction Data'!D2</f>
        <v>Wire transfer - Sender data - Bank name</v>
      </c>
    </row>
    <row r="9" spans="1:7" hidden="1" x14ac:dyDescent="0.2">
      <c r="A9" s="4" t="s">
        <v>39</v>
      </c>
      <c r="B9" t="s">
        <v>65</v>
      </c>
      <c r="C9" t="s">
        <v>76</v>
      </c>
      <c r="D9" t="s">
        <v>84</v>
      </c>
      <c r="E9" t="s">
        <v>103</v>
      </c>
      <c r="F9" t="s">
        <v>116</v>
      </c>
      <c r="G9" t="str">
        <f>"AI can classify"&amp;" "&amp;'Transaction Data'!D13</f>
        <v>AI can classify Wire transfer - Sender data - Sender address</v>
      </c>
    </row>
    <row r="10" spans="1:7" hidden="1" x14ac:dyDescent="0.2">
      <c r="A10" s="5" t="s">
        <v>41</v>
      </c>
      <c r="B10" t="s">
        <v>65</v>
      </c>
      <c r="C10" t="s">
        <v>77</v>
      </c>
      <c r="D10" t="s">
        <v>85</v>
      </c>
      <c r="E10" t="s">
        <v>104</v>
      </c>
      <c r="F10" t="s">
        <v>116</v>
      </c>
      <c r="G10" t="str">
        <f>'Transaction Data'!D16</f>
        <v>Receiver bank records - Receiver data - Behavior Risk</v>
      </c>
    </row>
    <row r="11" spans="1:7" hidden="1" x14ac:dyDescent="0.2">
      <c r="A11" s="4" t="s">
        <v>64</v>
      </c>
      <c r="B11" t="s">
        <v>65</v>
      </c>
      <c r="C11" t="s">
        <v>75</v>
      </c>
      <c r="D11" t="s">
        <v>86</v>
      </c>
      <c r="E11" t="s">
        <v>105</v>
      </c>
      <c r="F11" t="s">
        <v>117</v>
      </c>
      <c r="G11" t="str">
        <f>'Transaction Data'!D12</f>
        <v>Wire transfer - Sender data - time</v>
      </c>
    </row>
    <row r="12" spans="1:7" hidden="1" x14ac:dyDescent="0.2">
      <c r="A12" s="4" t="s">
        <v>42</v>
      </c>
      <c r="B12" t="s">
        <v>62</v>
      </c>
      <c r="C12" t="s">
        <v>77</v>
      </c>
      <c r="D12" t="s">
        <v>87</v>
      </c>
      <c r="E12" t="s">
        <v>106</v>
      </c>
      <c r="F12" t="s">
        <v>116</v>
      </c>
      <c r="G12" t="str">
        <f>'Transaction Data'!D37</f>
        <v>Receiver bank records - Receiver data - Creation date</v>
      </c>
    </row>
    <row r="13" spans="1:7" x14ac:dyDescent="0.2">
      <c r="A13" s="4" t="s">
        <v>59</v>
      </c>
      <c r="B13" t="s">
        <v>63</v>
      </c>
      <c r="C13" t="s">
        <v>76</v>
      </c>
      <c r="D13" t="s">
        <v>88</v>
      </c>
      <c r="E13" t="s">
        <v>107</v>
      </c>
      <c r="F13" t="s">
        <v>115</v>
      </c>
      <c r="G13" t="str">
        <f>'Transaction Data'!D34</f>
        <v>Receiver bank records - Receiver data - Banned sender IBAN</v>
      </c>
    </row>
    <row r="14" spans="1:7" x14ac:dyDescent="0.2">
      <c r="A14" s="4" t="s">
        <v>43</v>
      </c>
      <c r="B14" t="s">
        <v>58</v>
      </c>
      <c r="C14" t="s">
        <v>76</v>
      </c>
      <c r="D14" t="s">
        <v>89</v>
      </c>
      <c r="E14" t="s">
        <v>108</v>
      </c>
      <c r="F14" t="s">
        <v>115</v>
      </c>
      <c r="G14" t="str">
        <f>'Transaction Data'!D25</f>
        <v>Receiver bank records - Receiver data - creation data</v>
      </c>
    </row>
    <row r="15" spans="1:7" hidden="1" x14ac:dyDescent="0.2">
      <c r="A15" s="4" t="s">
        <v>44</v>
      </c>
      <c r="B15" t="s">
        <v>58</v>
      </c>
      <c r="C15" t="s">
        <v>77</v>
      </c>
      <c r="D15" t="s">
        <v>90</v>
      </c>
      <c r="E15" t="s">
        <v>109</v>
      </c>
      <c r="F15" t="s">
        <v>116</v>
      </c>
      <c r="G15" t="str">
        <f>'Transaction Data'!D25</f>
        <v>Receiver bank records - Receiver data - creation data</v>
      </c>
    </row>
    <row r="16" spans="1:7" hidden="1" x14ac:dyDescent="0.2">
      <c r="A16" s="4" t="s">
        <v>45</v>
      </c>
      <c r="B16" t="s">
        <v>55</v>
      </c>
      <c r="C16" t="s">
        <v>77</v>
      </c>
      <c r="D16" t="s">
        <v>91</v>
      </c>
      <c r="E16" t="s">
        <v>110</v>
      </c>
      <c r="F16" t="s">
        <v>115</v>
      </c>
      <c r="G16" t="str">
        <f>'Transaction Data'!D25</f>
        <v>Receiver bank records - Receiver data - creation data</v>
      </c>
    </row>
    <row r="17" spans="1:7" hidden="1" x14ac:dyDescent="0.2">
      <c r="A17" s="4" t="s">
        <v>56</v>
      </c>
      <c r="B17" t="s">
        <v>55</v>
      </c>
      <c r="C17" t="s">
        <v>77</v>
      </c>
      <c r="D17" t="s">
        <v>92</v>
      </c>
      <c r="E17" t="s">
        <v>111</v>
      </c>
      <c r="F17" t="s">
        <v>118</v>
      </c>
      <c r="G17" t="str">
        <f>'Transaction Data'!D36</f>
        <v>External records - Sender data - Sanctioned person or organization (Interpol, Clinton List)</v>
      </c>
    </row>
    <row r="18" spans="1:7" hidden="1" x14ac:dyDescent="0.2">
      <c r="A18" s="4" t="s">
        <v>57</v>
      </c>
      <c r="B18" t="s">
        <v>55</v>
      </c>
      <c r="C18" t="s">
        <v>77</v>
      </c>
      <c r="D18" t="s">
        <v>93</v>
      </c>
      <c r="E18" t="s">
        <v>112</v>
      </c>
      <c r="F18" t="s">
        <v>118</v>
      </c>
      <c r="G18" t="str">
        <f>'Transaction Data'!D35</f>
        <v>External records - Sender data - Sanctioned country</v>
      </c>
    </row>
    <row r="19" spans="1:7" hidden="1" x14ac:dyDescent="0.2">
      <c r="A19" s="4" t="s">
        <v>51</v>
      </c>
      <c r="B19" t="s">
        <v>66</v>
      </c>
      <c r="C19" t="s">
        <v>76</v>
      </c>
      <c r="D19" t="s">
        <v>94</v>
      </c>
      <c r="E19" t="s">
        <v>113</v>
      </c>
      <c r="F19" t="s">
        <v>117</v>
      </c>
      <c r="G19" t="str">
        <f>'Transaction Data'!D25</f>
        <v>Receiver bank records - Receiver data - creation data</v>
      </c>
    </row>
    <row r="20" spans="1:7" hidden="1" x14ac:dyDescent="0.2">
      <c r="A20" s="4" t="s">
        <v>53</v>
      </c>
      <c r="B20" t="s">
        <v>66</v>
      </c>
      <c r="C20" t="s">
        <v>77</v>
      </c>
      <c r="D20" t="s">
        <v>95</v>
      </c>
      <c r="E20" t="s">
        <v>114</v>
      </c>
      <c r="F20" t="s">
        <v>116</v>
      </c>
      <c r="G20" t="str">
        <f>'Transaction Data'!D27</f>
        <v>Receiver bank records - Receiver data - previous trasfer</v>
      </c>
    </row>
    <row r="21" spans="1:7" hidden="1" x14ac:dyDescent="0.2">
      <c r="A21" s="2"/>
    </row>
    <row r="42" spans="1:1" x14ac:dyDescent="0.2">
      <c r="A42" t="s">
        <v>23</v>
      </c>
    </row>
    <row r="43" spans="1:1" x14ac:dyDescent="0.2">
      <c r="A43" t="s">
        <v>24</v>
      </c>
    </row>
    <row r="44" spans="1:1" x14ac:dyDescent="0.2">
      <c r="A44" t="s">
        <v>25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57726-2D65-1F4B-B963-4A2666817180}">
  <dimension ref="A1:D37"/>
  <sheetViews>
    <sheetView workbookViewId="0">
      <selection activeCell="A38" sqref="A38"/>
    </sheetView>
  </sheetViews>
  <sheetFormatPr baseColWidth="10" defaultRowHeight="16" x14ac:dyDescent="0.2"/>
  <cols>
    <col min="1" max="1" width="19.1640625" bestFit="1" customWidth="1"/>
    <col min="2" max="2" width="12.33203125" bestFit="1" customWidth="1"/>
    <col min="3" max="3" width="24.1640625" bestFit="1" customWidth="1"/>
    <col min="4" max="4" width="56.83203125" bestFit="1" customWidth="1"/>
  </cols>
  <sheetData>
    <row r="1" spans="1:4" x14ac:dyDescent="0.2">
      <c r="A1" t="s">
        <v>69</v>
      </c>
      <c r="B1" t="s">
        <v>68</v>
      </c>
      <c r="C1" t="s">
        <v>17</v>
      </c>
      <c r="D1" t="s">
        <v>72</v>
      </c>
    </row>
    <row r="2" spans="1:4" x14ac:dyDescent="0.2">
      <c r="A2" t="s">
        <v>70</v>
      </c>
      <c r="B2" t="s">
        <v>0</v>
      </c>
      <c r="C2" t="s">
        <v>3</v>
      </c>
      <c r="D2" t="str">
        <f t="shared" ref="D2:D36" si="0">A2&amp;" - "&amp;B2&amp;" - "&amp;C2</f>
        <v>Wire transfer - Sender data - Bank name</v>
      </c>
    </row>
    <row r="3" spans="1:4" x14ac:dyDescent="0.2">
      <c r="A3" t="s">
        <v>70</v>
      </c>
      <c r="B3" t="s">
        <v>0</v>
      </c>
      <c r="C3" t="s">
        <v>2</v>
      </c>
      <c r="D3" t="str">
        <f t="shared" si="0"/>
        <v>Wire transfer - Sender data - Bank Adress</v>
      </c>
    </row>
    <row r="4" spans="1:4" x14ac:dyDescent="0.2">
      <c r="A4" t="s">
        <v>70</v>
      </c>
      <c r="B4" t="s">
        <v>0</v>
      </c>
      <c r="C4" t="s">
        <v>71</v>
      </c>
      <c r="D4" t="str">
        <f t="shared" si="0"/>
        <v>Wire transfer - Sender data - Amount USD</v>
      </c>
    </row>
    <row r="5" spans="1:4" x14ac:dyDescent="0.2">
      <c r="A5" t="s">
        <v>70</v>
      </c>
      <c r="B5" t="s">
        <v>0</v>
      </c>
      <c r="C5" t="s">
        <v>73</v>
      </c>
      <c r="D5" t="str">
        <f t="shared" si="0"/>
        <v>Wire transfer - Sender data - First transaction date</v>
      </c>
    </row>
    <row r="6" spans="1:4" x14ac:dyDescent="0.2">
      <c r="A6" t="s">
        <v>70</v>
      </c>
      <c r="B6" t="s">
        <v>0</v>
      </c>
      <c r="C6" t="s">
        <v>4</v>
      </c>
      <c r="D6" t="str">
        <f t="shared" si="0"/>
        <v>Wire transfer - Sender data - Deviation from</v>
      </c>
    </row>
    <row r="7" spans="1:4" x14ac:dyDescent="0.2">
      <c r="A7" t="s">
        <v>70</v>
      </c>
      <c r="B7" t="s">
        <v>0</v>
      </c>
      <c r="C7" t="s">
        <v>29</v>
      </c>
      <c r="D7" t="str">
        <f t="shared" si="0"/>
        <v>Wire transfer - Sender data - Sender Iban</v>
      </c>
    </row>
    <row r="8" spans="1:4" x14ac:dyDescent="0.2">
      <c r="A8" t="s">
        <v>70</v>
      </c>
      <c r="B8" t="s">
        <v>0</v>
      </c>
      <c r="C8" t="s">
        <v>30</v>
      </c>
      <c r="D8" t="str">
        <f t="shared" si="0"/>
        <v>Wire transfer - Sender data - Sender full name</v>
      </c>
    </row>
    <row r="9" spans="1:4" x14ac:dyDescent="0.2">
      <c r="A9" t="s">
        <v>70</v>
      </c>
      <c r="B9" t="s">
        <v>0</v>
      </c>
      <c r="C9" t="s">
        <v>31</v>
      </c>
      <c r="D9" t="str">
        <f t="shared" si="0"/>
        <v>Wire transfer - Sender data - currency</v>
      </c>
    </row>
    <row r="10" spans="1:4" x14ac:dyDescent="0.2">
      <c r="A10" t="s">
        <v>70</v>
      </c>
      <c r="B10" t="s">
        <v>0</v>
      </c>
      <c r="C10" t="s">
        <v>32</v>
      </c>
      <c r="D10" t="str">
        <f t="shared" si="0"/>
        <v>Wire transfer - Sender data - payment reference</v>
      </c>
    </row>
    <row r="11" spans="1:4" x14ac:dyDescent="0.2">
      <c r="A11" t="s">
        <v>70</v>
      </c>
      <c r="B11" t="s">
        <v>0</v>
      </c>
      <c r="C11" t="s">
        <v>33</v>
      </c>
      <c r="D11" t="str">
        <f t="shared" si="0"/>
        <v>Wire transfer - Sender data - date</v>
      </c>
    </row>
    <row r="12" spans="1:4" x14ac:dyDescent="0.2">
      <c r="A12" t="s">
        <v>70</v>
      </c>
      <c r="B12" t="s">
        <v>0</v>
      </c>
      <c r="C12" t="s">
        <v>34</v>
      </c>
      <c r="D12" t="str">
        <f t="shared" si="0"/>
        <v>Wire transfer - Sender data - time</v>
      </c>
    </row>
    <row r="13" spans="1:4" x14ac:dyDescent="0.2">
      <c r="A13" t="s">
        <v>70</v>
      </c>
      <c r="B13" t="s">
        <v>0</v>
      </c>
      <c r="C13" t="s">
        <v>35</v>
      </c>
      <c r="D13" t="str">
        <f t="shared" si="0"/>
        <v>Wire transfer - Sender data - Sender address</v>
      </c>
    </row>
    <row r="14" spans="1:4" x14ac:dyDescent="0.2">
      <c r="A14" t="s">
        <v>74</v>
      </c>
      <c r="B14" t="s">
        <v>1</v>
      </c>
      <c r="C14" t="s">
        <v>5</v>
      </c>
      <c r="D14" t="str">
        <f t="shared" si="0"/>
        <v>Receiver bank records - Receiver data - Name</v>
      </c>
    </row>
    <row r="15" spans="1:4" x14ac:dyDescent="0.2">
      <c r="A15" t="s">
        <v>74</v>
      </c>
      <c r="B15" t="s">
        <v>1</v>
      </c>
      <c r="C15" t="s">
        <v>6</v>
      </c>
      <c r="D15" t="str">
        <f t="shared" si="0"/>
        <v>Receiver bank records - Receiver data - email</v>
      </c>
    </row>
    <row r="16" spans="1:4" x14ac:dyDescent="0.2">
      <c r="A16" t="s">
        <v>74</v>
      </c>
      <c r="B16" t="s">
        <v>1</v>
      </c>
      <c r="C16" t="s">
        <v>21</v>
      </c>
      <c r="D16" t="str">
        <f t="shared" si="0"/>
        <v>Receiver bank records - Receiver data - Behavior Risk</v>
      </c>
    </row>
    <row r="17" spans="1:4" x14ac:dyDescent="0.2">
      <c r="A17" t="s">
        <v>74</v>
      </c>
      <c r="B17" t="s">
        <v>1</v>
      </c>
      <c r="C17" t="s">
        <v>7</v>
      </c>
      <c r="D17" t="str">
        <f t="shared" si="0"/>
        <v>Receiver bank records - Receiver data - fraudelent email risk</v>
      </c>
    </row>
    <row r="18" spans="1:4" x14ac:dyDescent="0.2">
      <c r="A18" t="s">
        <v>74</v>
      </c>
      <c r="B18" t="s">
        <v>1</v>
      </c>
      <c r="C18" t="s">
        <v>8</v>
      </c>
      <c r="D18" t="str">
        <f t="shared" si="0"/>
        <v>Receiver bank records - Receiver data - phone</v>
      </c>
    </row>
    <row r="19" spans="1:4" x14ac:dyDescent="0.2">
      <c r="A19" t="s">
        <v>74</v>
      </c>
      <c r="B19" t="s">
        <v>1</v>
      </c>
      <c r="C19" t="s">
        <v>9</v>
      </c>
      <c r="D19" t="str">
        <f t="shared" si="0"/>
        <v>Receiver bank records - Receiver data - phone on scam list</v>
      </c>
    </row>
    <row r="20" spans="1:4" x14ac:dyDescent="0.2">
      <c r="A20" t="s">
        <v>74</v>
      </c>
      <c r="B20" t="s">
        <v>1</v>
      </c>
      <c r="C20" t="s">
        <v>10</v>
      </c>
      <c r="D20" t="str">
        <f t="shared" si="0"/>
        <v>Receiver bank records - Receiver data - device</v>
      </c>
    </row>
    <row r="21" spans="1:4" x14ac:dyDescent="0.2">
      <c r="A21" t="s">
        <v>74</v>
      </c>
      <c r="B21" t="s">
        <v>1</v>
      </c>
      <c r="C21" t="s">
        <v>11</v>
      </c>
      <c r="D21" t="str">
        <f t="shared" si="0"/>
        <v>Receiver bank records - Receiver data - device risk</v>
      </c>
    </row>
    <row r="22" spans="1:4" x14ac:dyDescent="0.2">
      <c r="A22" t="s">
        <v>74</v>
      </c>
      <c r="B22" t="s">
        <v>1</v>
      </c>
      <c r="C22" t="s">
        <v>12</v>
      </c>
      <c r="D22" t="str">
        <f t="shared" si="0"/>
        <v>Receiver bank records - Receiver data - id</v>
      </c>
    </row>
    <row r="23" spans="1:4" x14ac:dyDescent="0.2">
      <c r="A23" t="s">
        <v>74</v>
      </c>
      <c r="B23" t="s">
        <v>1</v>
      </c>
      <c r="C23" t="s">
        <v>13</v>
      </c>
      <c r="D23" t="str">
        <f t="shared" si="0"/>
        <v>Receiver bank records - Receiver data - Stolen ID</v>
      </c>
    </row>
    <row r="24" spans="1:4" x14ac:dyDescent="0.2">
      <c r="A24" t="s">
        <v>74</v>
      </c>
      <c r="B24" t="s">
        <v>1</v>
      </c>
      <c r="C24" t="s">
        <v>14</v>
      </c>
      <c r="D24" t="str">
        <f t="shared" si="0"/>
        <v>Receiver bank records - Receiver data - Credit Score</v>
      </c>
    </row>
    <row r="25" spans="1:4" x14ac:dyDescent="0.2">
      <c r="A25" t="s">
        <v>74</v>
      </c>
      <c r="B25" t="s">
        <v>1</v>
      </c>
      <c r="C25" t="s">
        <v>15</v>
      </c>
      <c r="D25" t="str">
        <f t="shared" si="0"/>
        <v>Receiver bank records - Receiver data - creation data</v>
      </c>
    </row>
    <row r="26" spans="1:4" x14ac:dyDescent="0.2">
      <c r="A26" t="s">
        <v>74</v>
      </c>
      <c r="B26" t="s">
        <v>1</v>
      </c>
      <c r="C26" t="s">
        <v>16</v>
      </c>
      <c r="D26" t="str">
        <f t="shared" si="0"/>
        <v>Receiver bank records - Receiver data - first trasfer</v>
      </c>
    </row>
    <row r="27" spans="1:4" x14ac:dyDescent="0.2">
      <c r="A27" t="s">
        <v>74</v>
      </c>
      <c r="B27" t="s">
        <v>1</v>
      </c>
      <c r="C27" t="s">
        <v>18</v>
      </c>
      <c r="D27" t="str">
        <f t="shared" si="0"/>
        <v>Receiver bank records - Receiver data - previous trasfer</v>
      </c>
    </row>
    <row r="28" spans="1:4" x14ac:dyDescent="0.2">
      <c r="A28" t="s">
        <v>74</v>
      </c>
      <c r="B28" t="s">
        <v>1</v>
      </c>
      <c r="C28" t="s">
        <v>19</v>
      </c>
      <c r="D28" t="str">
        <f t="shared" si="0"/>
        <v>Receiver bank records - Receiver data - number of trasfers</v>
      </c>
    </row>
    <row r="29" spans="1:4" x14ac:dyDescent="0.2">
      <c r="A29" t="s">
        <v>74</v>
      </c>
      <c r="B29" t="s">
        <v>1</v>
      </c>
      <c r="C29" t="s">
        <v>20</v>
      </c>
      <c r="D29" t="str">
        <f t="shared" si="0"/>
        <v>Receiver bank records - Receiver data - amount of trasfers</v>
      </c>
    </row>
    <row r="30" spans="1:4" x14ac:dyDescent="0.2">
      <c r="A30" t="s">
        <v>74</v>
      </c>
      <c r="B30" t="s">
        <v>1</v>
      </c>
      <c r="C30" t="s">
        <v>28</v>
      </c>
      <c r="D30" t="str">
        <f t="shared" si="0"/>
        <v>Receiver bank records - Receiver data - Bank identifier (BIC or Swift)</v>
      </c>
    </row>
    <row r="31" spans="1:4" x14ac:dyDescent="0.2">
      <c r="A31" t="s">
        <v>74</v>
      </c>
      <c r="B31" t="s">
        <v>1</v>
      </c>
      <c r="C31" t="s">
        <v>36</v>
      </c>
      <c r="D31" t="str">
        <f t="shared" si="0"/>
        <v>Receiver bank records - Receiver data - Business or person</v>
      </c>
    </row>
    <row r="32" spans="1:4" x14ac:dyDescent="0.2">
      <c r="A32" t="s">
        <v>74</v>
      </c>
      <c r="B32" t="s">
        <v>1</v>
      </c>
      <c r="C32" t="s">
        <v>37</v>
      </c>
      <c r="D32" t="str">
        <f t="shared" si="0"/>
        <v>Receiver bank records - Receiver data - Reason for Transfer:</v>
      </c>
    </row>
    <row r="33" spans="1:4" x14ac:dyDescent="0.2">
      <c r="A33" t="s">
        <v>74</v>
      </c>
      <c r="B33" t="s">
        <v>1</v>
      </c>
      <c r="C33" t="s">
        <v>38</v>
      </c>
      <c r="D33" t="str">
        <f t="shared" si="0"/>
        <v>Receiver bank records - Receiver data - Local or International</v>
      </c>
    </row>
    <row r="34" spans="1:4" x14ac:dyDescent="0.2">
      <c r="A34" t="s">
        <v>74</v>
      </c>
      <c r="B34" t="s">
        <v>1</v>
      </c>
      <c r="C34" t="s">
        <v>121</v>
      </c>
      <c r="D34" t="str">
        <f t="shared" si="0"/>
        <v>Receiver bank records - Receiver data - Banned sender IBAN</v>
      </c>
    </row>
    <row r="35" spans="1:4" x14ac:dyDescent="0.2">
      <c r="A35" t="s">
        <v>122</v>
      </c>
      <c r="B35" t="s">
        <v>0</v>
      </c>
      <c r="C35" t="s">
        <v>123</v>
      </c>
      <c r="D35" t="str">
        <f t="shared" si="0"/>
        <v>External records - Sender data - Sanctioned country</v>
      </c>
    </row>
    <row r="36" spans="1:4" x14ac:dyDescent="0.2">
      <c r="A36" t="s">
        <v>122</v>
      </c>
      <c r="B36" t="s">
        <v>0</v>
      </c>
      <c r="C36" t="s">
        <v>124</v>
      </c>
      <c r="D36" t="str">
        <f t="shared" si="0"/>
        <v>External records - Sender data - Sanctioned person or organization (Interpol, Clinton List)</v>
      </c>
    </row>
    <row r="37" spans="1:4" x14ac:dyDescent="0.2">
      <c r="A37" t="s">
        <v>74</v>
      </c>
      <c r="B37" t="s">
        <v>1</v>
      </c>
      <c r="C37" t="s">
        <v>125</v>
      </c>
      <c r="D37" t="str">
        <f t="shared" ref="D37" si="1">A37&amp;" - "&amp;B37&amp;" - "&amp;C37</f>
        <v>Receiver bank records - Receiver data - Creation date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RFI Triggers</vt:lpstr>
      <vt:lpstr>Transaction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Camacho</dc:creator>
  <cp:lastModifiedBy>Pablo Camacho</cp:lastModifiedBy>
  <dcterms:created xsi:type="dcterms:W3CDTF">2026-05-06T08:31:09Z</dcterms:created>
  <dcterms:modified xsi:type="dcterms:W3CDTF">2026-05-07T17:22:41Z</dcterms:modified>
</cp:coreProperties>
</file>